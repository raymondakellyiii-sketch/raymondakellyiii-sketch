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aymo\OneDrive\Documents\MTC Folder\Semester 2 (Fall 2024)\Internet Communications (IST-225-B1Y)\Term Project\Task Sheet\"/>
    </mc:Choice>
  </mc:AlternateContent>
  <xr:revisionPtr revIDLastSave="0" documentId="13_ncr:1_{6A84EF01-0BBE-4AB1-9620-9BC1267CBC9D}" xr6:coauthVersionLast="47" xr6:coauthVersionMax="47" xr10:uidLastSave="{00000000-0000-0000-0000-000000000000}"/>
  <bookViews>
    <workbookView xWindow="3000" yWindow="3000" windowWidth="17280" windowHeight="9960" xr2:uid="{00000000-000D-0000-FFFF-FFFF00000000}"/>
  </bookViews>
  <sheets>
    <sheet name="Master" sheetId="1" r:id="rId1"/>
  </sheets>
  <definedNames>
    <definedName name="_xlnm.Print_Area" localSheetId="0">Master!$A$1:$H$52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E10" i="1"/>
  <c r="D9" i="1"/>
  <c r="E9" i="1"/>
  <c r="E45" i="1"/>
  <c r="E4" i="1"/>
  <c r="D44" i="1"/>
  <c r="E44" i="1"/>
  <c r="D43" i="1"/>
  <c r="E43" i="1"/>
  <c r="D32" i="1"/>
  <c r="E32" i="1"/>
  <c r="D31" i="1"/>
  <c r="E31" i="1"/>
  <c r="D30" i="1"/>
  <c r="E30" i="1"/>
  <c r="D29" i="1"/>
  <c r="E29" i="1"/>
  <c r="D28" i="1"/>
  <c r="E28" i="1"/>
  <c r="D26" i="1"/>
  <c r="E26" i="1"/>
  <c r="D25" i="1"/>
  <c r="E25" i="1"/>
  <c r="D24" i="1"/>
  <c r="E24" i="1"/>
  <c r="E36" i="1"/>
  <c r="E35" i="1"/>
  <c r="D34" i="1"/>
  <c r="E34" i="1"/>
  <c r="E21" i="1"/>
  <c r="D19" i="1"/>
  <c r="E19" i="1"/>
  <c r="E18" i="1"/>
  <c r="D17" i="1"/>
  <c r="E17" i="1"/>
  <c r="D15" i="1"/>
  <c r="E15" i="1"/>
  <c r="D14" i="1"/>
  <c r="E14" i="1"/>
  <c r="D13" i="1"/>
  <c r="E13" i="1"/>
  <c r="D12" i="1"/>
  <c r="E12" i="1"/>
  <c r="D8" i="1"/>
  <c r="E8" i="1"/>
  <c r="D7" i="1"/>
  <c r="E7" i="1"/>
  <c r="F4" i="1"/>
</calcChain>
</file>

<file path=xl/sharedStrings.xml><?xml version="1.0" encoding="utf-8"?>
<sst xmlns="http://schemas.openxmlformats.org/spreadsheetml/2006/main" count="90" uniqueCount="73">
  <si>
    <t>Page Structure</t>
  </si>
  <si>
    <t>Title</t>
  </si>
  <si>
    <t>Link all pages</t>
  </si>
  <si>
    <t>Link to home page</t>
  </si>
  <si>
    <t>Picture</t>
  </si>
  <si>
    <t>Linked sound</t>
  </si>
  <si>
    <t>Semester Project Parameters and Point Values</t>
  </si>
  <si>
    <t>Upload</t>
  </si>
  <si>
    <t>Percent Grade</t>
  </si>
  <si>
    <t>Link to CSS</t>
  </si>
  <si>
    <t>5 Pages plus CSS</t>
  </si>
  <si>
    <t>Point Values</t>
  </si>
  <si>
    <t>Most</t>
  </si>
  <si>
    <t>Partial</t>
  </si>
  <si>
    <t>None</t>
  </si>
  <si>
    <t>Awarded</t>
  </si>
  <si>
    <t>All</t>
  </si>
  <si>
    <t>*** Be sure to indicate on your submitted project task sheet where these requirements</t>
  </si>
  <si>
    <t>have been met in your Web pages!</t>
  </si>
  <si>
    <t>SID:</t>
  </si>
  <si>
    <t>Task sheet</t>
  </si>
  <si>
    <t>Where</t>
  </si>
  <si>
    <t>Meta Keywords (Ch 12)</t>
  </si>
  <si>
    <t>Opening page = "index.html"</t>
  </si>
  <si>
    <t>Uploaded correctly (D2L &amp; Web Server)</t>
  </si>
  <si>
    <t>Meta Description (Ch 12)</t>
  </si>
  <si>
    <t>HTML &amp; CSS indented to clearly show where elements start &amp; end</t>
  </si>
  <si>
    <t>Line spacing used within HTML &amp; CSS for easy readability of code</t>
  </si>
  <si>
    <t xml:space="preserve">Page names used appropriately </t>
  </si>
  <si>
    <t>Text Alignment</t>
  </si>
  <si>
    <t>Link within a page - Fragment Identifier</t>
  </si>
  <si>
    <t>Student Name:</t>
  </si>
  <si>
    <t>Blockquote</t>
  </si>
  <si>
    <t>CSS</t>
  </si>
  <si>
    <t>Fonts - 3 different used in elements</t>
  </si>
  <si>
    <t>Font Weight</t>
  </si>
  <si>
    <t xml:space="preserve">Validation </t>
  </si>
  <si>
    <t>Points Earned</t>
  </si>
  <si>
    <t>Total points possible</t>
  </si>
  <si>
    <t>Table(s) - minimum 3 row, 3 column</t>
  </si>
  <si>
    <t>Headings (h1-h6) - 5 different in pages - Heading included in Header does not count.</t>
  </si>
  <si>
    <t>Opening (Autoplay) sound</t>
  </si>
  <si>
    <t>HTML5 Video</t>
  </si>
  <si>
    <t>Font colors (5) - At least one not in Hex</t>
  </si>
  <si>
    <t>Font color in HEX</t>
  </si>
  <si>
    <t>Font Size</t>
  </si>
  <si>
    <t>Unordered List Style Image</t>
  </si>
  <si>
    <t>Table Pseudo Class :nth of type()</t>
  </si>
  <si>
    <t>HTML/CSS Pages free of Errors (2 Points Deducted Per Error)</t>
  </si>
  <si>
    <t>Revised: 8/10/15</t>
  </si>
  <si>
    <t>Horizontal Rule</t>
  </si>
  <si>
    <t>Unordered List - not used in navigation</t>
  </si>
  <si>
    <t>Ordered List - not used in navigation</t>
  </si>
  <si>
    <t>Tiled Picture-must be vertical or horizontal tiled</t>
  </si>
  <si>
    <t>HTML - Body</t>
  </si>
  <si>
    <t>HTML - Head</t>
  </si>
  <si>
    <t>HTML - Navigation</t>
  </si>
  <si>
    <t>HTML - Multimedia</t>
  </si>
  <si>
    <t>Index, My Favorites, Cassette Care, Cassette Hunt, Organizing + CSS</t>
  </si>
  <si>
    <t>Yes see HTML and CSS</t>
  </si>
  <si>
    <t>Raymond Kelly</t>
  </si>
  <si>
    <t>Yes see HTML</t>
  </si>
  <si>
    <t>Yes see CSS</t>
  </si>
  <si>
    <t>Yes see HTML Favorites</t>
  </si>
  <si>
    <t>Yes see HTML there is 6</t>
  </si>
  <si>
    <t>Yes see HTML all pages</t>
  </si>
  <si>
    <t>Yes see HTML Index, Organizing, and Care</t>
  </si>
  <si>
    <t>Yes see HTML Care</t>
  </si>
  <si>
    <t>Yes see HTML Cassette Hunt</t>
  </si>
  <si>
    <t>Yes see HTML Index</t>
  </si>
  <si>
    <t>Yes see HTML Index didn't work in browser</t>
  </si>
  <si>
    <t>Yes see HTML Favorites Music Samples iframes</t>
  </si>
  <si>
    <t>Yes see Term Project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</si>
</sst>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"/>
    <numFmt numFmtId="165" formatCode="[$-409]General"/>
  </numFmts>
  <fonts count="11">
    <font>
      <sz val="10"/>
      <name val="Arial"/>
    </font>
    <font>
      <sz val="8"/>
      <name val="Arial"/>
      <family val="2"/>
    </font>
    <font>
      <sz val="10"/>
      <color theme="1"/>
      <name val="Arial1"/>
    </font>
    <font>
      <b/>
      <i/>
      <sz val="18"/>
      <color rgb="FF002060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2"/>
      <name val="Calibri"/>
      <family val="2"/>
      <scheme val="minor"/>
    </font>
    <font>
      <b/>
      <i/>
      <sz val="12"/>
      <color rgb="FF00206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i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165" fontId="2" fillId="0" borderId="0"/>
  </cellStyleXfs>
  <cellXfs count="66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7" fillId="0" borderId="0" xfId="0" applyFont="1"/>
    <xf numFmtId="0" fontId="7" fillId="2" borderId="0" xfId="0" applyFont="1" applyFill="1"/>
    <xf numFmtId="0" fontId="6" fillId="0" borderId="0" xfId="0" applyFont="1"/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164" fontId="7" fillId="2" borderId="0" xfId="0" applyNumberFormat="1" applyFont="1" applyFill="1" applyAlignment="1">
      <alignment horizontal="center"/>
    </xf>
    <xf numFmtId="0" fontId="10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/>
    </xf>
    <xf numFmtId="1" fontId="4" fillId="0" borderId="0" xfId="0" applyNumberFormat="1" applyFont="1" applyAlignment="1">
      <alignment vertical="center"/>
    </xf>
    <xf numFmtId="1" fontId="4" fillId="0" borderId="0" xfId="0" applyNumberFormat="1" applyFont="1" applyAlignment="1">
      <alignment horizontal="center"/>
    </xf>
    <xf numFmtId="1" fontId="4" fillId="0" borderId="0" xfId="0" applyNumberFormat="1" applyFont="1"/>
    <xf numFmtId="0" fontId="6" fillId="0" borderId="0" xfId="0" applyFont="1" applyAlignment="1">
      <alignment vertical="center" wrapText="1"/>
    </xf>
    <xf numFmtId="0" fontId="6" fillId="0" borderId="2" xfId="0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8" fillId="0" borderId="0" xfId="0" applyFont="1"/>
    <xf numFmtId="0" fontId="6" fillId="0" borderId="0" xfId="0" applyFont="1" applyAlignment="1">
      <alignment horizontal="center"/>
    </xf>
    <xf numFmtId="0" fontId="4" fillId="2" borderId="8" xfId="0" applyFont="1" applyFill="1" applyBorder="1"/>
    <xf numFmtId="0" fontId="4" fillId="2" borderId="9" xfId="0" applyFont="1" applyFill="1" applyBorder="1"/>
    <xf numFmtId="0" fontId="4" fillId="2" borderId="10" xfId="0" applyFont="1" applyFill="1" applyBorder="1"/>
    <xf numFmtId="0" fontId="6" fillId="0" borderId="3" xfId="0" applyFont="1" applyBorder="1"/>
    <xf numFmtId="0" fontId="6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3" xfId="0" applyFont="1" applyBorder="1" applyAlignment="1">
      <alignment vertical="center" wrapText="1"/>
    </xf>
    <xf numFmtId="0" fontId="6" fillId="0" borderId="7" xfId="0" applyFont="1" applyBorder="1" applyAlignment="1">
      <alignment vertical="center"/>
    </xf>
    <xf numFmtId="0" fontId="6" fillId="2" borderId="8" xfId="0" applyFont="1" applyFill="1" applyBorder="1"/>
    <xf numFmtId="0" fontId="6" fillId="2" borderId="9" xfId="0" applyFont="1" applyFill="1" applyBorder="1"/>
    <xf numFmtId="0" fontId="6" fillId="2" borderId="10" xfId="0" applyFont="1" applyFill="1" applyBorder="1"/>
    <xf numFmtId="0" fontId="6" fillId="2" borderId="8" xfId="0" applyFont="1" applyFill="1" applyBorder="1" applyAlignment="1">
      <alignment vertical="center"/>
    </xf>
    <xf numFmtId="0" fontId="6" fillId="2" borderId="9" xfId="0" applyFont="1" applyFill="1" applyBorder="1" applyAlignment="1">
      <alignment vertical="center"/>
    </xf>
    <xf numFmtId="0" fontId="6" fillId="2" borderId="10" xfId="0" applyFont="1" applyFill="1" applyBorder="1" applyAlignment="1">
      <alignment vertical="center"/>
    </xf>
    <xf numFmtId="0" fontId="6" fillId="0" borderId="5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4" fillId="0" borderId="1" xfId="0" applyFont="1" applyBorder="1"/>
    <xf numFmtId="1" fontId="4" fillId="0" borderId="1" xfId="0" applyNumberFormat="1" applyFont="1" applyBorder="1"/>
    <xf numFmtId="1" fontId="4" fillId="0" borderId="1" xfId="0" applyNumberFormat="1" applyFont="1" applyBorder="1" applyAlignment="1">
      <alignment horizontal="center"/>
    </xf>
    <xf numFmtId="0" fontId="4" fillId="2" borderId="11" xfId="0" applyFont="1" applyFill="1" applyBorder="1"/>
    <xf numFmtId="0" fontId="8" fillId="0" borderId="12" xfId="0" applyFont="1" applyBorder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1" fontId="6" fillId="0" borderId="7" xfId="0" applyNumberFormat="1" applyFont="1" applyBorder="1" applyAlignment="1">
      <alignment horizontal="center"/>
    </xf>
    <xf numFmtId="2" fontId="6" fillId="0" borderId="13" xfId="0" applyNumberFormat="1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2" xfId="0" applyFont="1" applyBorder="1" applyAlignment="1">
      <alignment vertical="center"/>
    </xf>
    <xf numFmtId="0" fontId="9" fillId="3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</cellXfs>
  <cellStyles count="2">
    <cellStyle name="Excel Built-in Normal" xfId="1" xr:uid="{00000000-0005-0000-0000-000000000000}"/>
    <cellStyle name="Normal" xfId="0" builtinId="0"/>
  </cellStyles>
  <dxfs count="0"/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52"/>
  <sheetViews>
    <sheetView tabSelected="1" zoomScale="80" zoomScaleNormal="80" workbookViewId="0">
      <pane xSplit="1" ySplit="4" topLeftCell="B43" activePane="bottomRight" state="frozen"/>
      <selection sqref="A1:G48"/>
      <selection pane="topRight" sqref="A1:G48"/>
      <selection pane="bottomLeft" sqref="A1:G48"/>
      <selection pane="bottomRight" activeCell="H44" sqref="H44"/>
    </sheetView>
  </sheetViews>
  <sheetFormatPr defaultColWidth="9.109375" defaultRowHeight="13.8"/>
  <cols>
    <col min="1" max="1" width="17" style="1" customWidth="1"/>
    <col min="2" max="2" width="47.88671875" style="1" customWidth="1"/>
    <col min="3" max="4" width="8.88671875" style="1" customWidth="1"/>
    <col min="5" max="5" width="8.33203125" style="1" customWidth="1"/>
    <col min="6" max="6" width="8.88671875" style="1" customWidth="1"/>
    <col min="7" max="7" width="9.44140625" style="2" bestFit="1" customWidth="1"/>
    <col min="8" max="8" width="55.6640625" style="1" customWidth="1"/>
    <col min="9" max="9" width="9.6640625" style="1" bestFit="1" customWidth="1"/>
    <col min="10" max="16384" width="9.109375" style="1"/>
  </cols>
  <sheetData>
    <row r="1" spans="1:8" ht="23.4">
      <c r="A1" s="58" t="s">
        <v>6</v>
      </c>
      <c r="B1" s="58"/>
      <c r="C1" s="58"/>
      <c r="D1" s="58"/>
      <c r="E1" s="58"/>
      <c r="F1" s="58"/>
      <c r="G1" s="58"/>
      <c r="H1" s="58"/>
    </row>
    <row r="2" spans="1:8" ht="15.6">
      <c r="A2" s="3" t="s">
        <v>31</v>
      </c>
      <c r="B2" s="4" t="s">
        <v>60</v>
      </c>
      <c r="C2" s="3"/>
      <c r="D2" s="3"/>
      <c r="E2" s="5"/>
      <c r="F2" s="6" t="s">
        <v>19</v>
      </c>
      <c r="G2" s="9"/>
    </row>
    <row r="3" spans="1:8" ht="31.2">
      <c r="A3" s="26"/>
      <c r="B3" s="26"/>
      <c r="C3" s="26"/>
      <c r="D3" s="26"/>
      <c r="E3" s="49" t="s">
        <v>37</v>
      </c>
      <c r="F3" s="48" t="s">
        <v>8</v>
      </c>
      <c r="G3" s="27"/>
    </row>
    <row r="4" spans="1:8" ht="15.6">
      <c r="A4" s="5"/>
      <c r="B4" s="52" t="s">
        <v>38</v>
      </c>
      <c r="C4" s="53">
        <v>100</v>
      </c>
      <c r="D4" s="7"/>
      <c r="E4" s="50">
        <f>SUM(G7:G50)</f>
        <v>0</v>
      </c>
      <c r="F4" s="51">
        <f>(E4/C4)*100</f>
        <v>0</v>
      </c>
      <c r="G4" s="10"/>
    </row>
    <row r="5" spans="1:8" ht="15.6">
      <c r="A5" s="7"/>
      <c r="B5" s="5"/>
      <c r="C5" s="56" t="s">
        <v>11</v>
      </c>
      <c r="D5" s="56"/>
      <c r="E5" s="56"/>
      <c r="F5" s="56"/>
      <c r="G5" s="56"/>
    </row>
    <row r="6" spans="1:8" ht="16.5" customHeight="1">
      <c r="A6" s="5"/>
      <c r="B6" s="31"/>
      <c r="C6" s="32" t="s">
        <v>16</v>
      </c>
      <c r="D6" s="32" t="s">
        <v>12</v>
      </c>
      <c r="E6" s="32" t="s">
        <v>13</v>
      </c>
      <c r="F6" s="32" t="s">
        <v>14</v>
      </c>
      <c r="G6" s="32" t="s">
        <v>15</v>
      </c>
      <c r="H6" s="33" t="s">
        <v>21</v>
      </c>
    </row>
    <row r="7" spans="1:8" ht="31.5" customHeight="1">
      <c r="A7" s="59" t="s">
        <v>0</v>
      </c>
      <c r="B7" s="54" t="s">
        <v>10</v>
      </c>
      <c r="C7" s="20">
        <v>3</v>
      </c>
      <c r="D7" s="21">
        <f>C7*0.75</f>
        <v>2.25</v>
      </c>
      <c r="E7" s="21">
        <f>D7*0.25</f>
        <v>0.5625</v>
      </c>
      <c r="F7" s="21">
        <v>0</v>
      </c>
      <c r="G7" s="21"/>
      <c r="H7" s="29" t="s">
        <v>58</v>
      </c>
    </row>
    <row r="8" spans="1:8" ht="32.25" customHeight="1">
      <c r="A8" s="60"/>
      <c r="B8" s="8" t="s">
        <v>28</v>
      </c>
      <c r="C8" s="20">
        <v>4</v>
      </c>
      <c r="D8" s="21">
        <f>C8*0.75</f>
        <v>3</v>
      </c>
      <c r="E8" s="21">
        <f>D8*0.25</f>
        <v>0.75</v>
      </c>
      <c r="F8" s="21">
        <v>0</v>
      </c>
      <c r="G8" s="21"/>
      <c r="H8" s="29" t="s">
        <v>59</v>
      </c>
    </row>
    <row r="9" spans="1:8" ht="31.2">
      <c r="A9" s="60"/>
      <c r="B9" s="17" t="s">
        <v>26</v>
      </c>
      <c r="C9" s="20">
        <v>3</v>
      </c>
      <c r="D9" s="21">
        <f t="shared" ref="D9:D10" si="0">C9*0.75</f>
        <v>2.25</v>
      </c>
      <c r="E9" s="21">
        <f t="shared" ref="E9:E10" si="1">D9*0.25</f>
        <v>0.5625</v>
      </c>
      <c r="F9" s="21">
        <v>0</v>
      </c>
      <c r="G9" s="21"/>
      <c r="H9" s="29" t="s">
        <v>59</v>
      </c>
    </row>
    <row r="10" spans="1:8" ht="31.2">
      <c r="A10" s="61"/>
      <c r="B10" s="34" t="s">
        <v>27</v>
      </c>
      <c r="C10" s="22">
        <v>3</v>
      </c>
      <c r="D10" s="23">
        <f t="shared" si="0"/>
        <v>2.25</v>
      </c>
      <c r="E10" s="23">
        <f t="shared" si="1"/>
        <v>0.5625</v>
      </c>
      <c r="F10" s="23">
        <v>0</v>
      </c>
      <c r="G10" s="23"/>
      <c r="H10" s="30" t="s">
        <v>59</v>
      </c>
    </row>
    <row r="11" spans="1:8" ht="13.5" customHeight="1">
      <c r="A11" s="11"/>
      <c r="B11" s="12"/>
      <c r="C11" s="13"/>
      <c r="D11" s="14"/>
      <c r="E11" s="14"/>
      <c r="F11" s="14"/>
      <c r="G11" s="15"/>
    </row>
    <row r="12" spans="1:8" ht="32.25" customHeight="1">
      <c r="A12" s="59" t="s">
        <v>55</v>
      </c>
      <c r="B12" s="24" t="s">
        <v>1</v>
      </c>
      <c r="C12" s="18">
        <v>3</v>
      </c>
      <c r="D12" s="19">
        <f t="shared" ref="D12:D15" si="2">C12*0.75</f>
        <v>2.25</v>
      </c>
      <c r="E12" s="19">
        <f t="shared" ref="E12:E15" si="3">D12*0.25</f>
        <v>0.5625</v>
      </c>
      <c r="F12" s="19">
        <v>0</v>
      </c>
      <c r="G12" s="19"/>
      <c r="H12" s="28" t="s">
        <v>65</v>
      </c>
    </row>
    <row r="13" spans="1:8" ht="32.25" customHeight="1">
      <c r="A13" s="60"/>
      <c r="B13" s="25" t="s">
        <v>22</v>
      </c>
      <c r="C13" s="20">
        <v>3</v>
      </c>
      <c r="D13" s="21">
        <f t="shared" si="2"/>
        <v>2.25</v>
      </c>
      <c r="E13" s="21">
        <f t="shared" si="3"/>
        <v>0.5625</v>
      </c>
      <c r="F13" s="21">
        <v>0</v>
      </c>
      <c r="G13" s="21"/>
      <c r="H13" s="29" t="s">
        <v>65</v>
      </c>
    </row>
    <row r="14" spans="1:8" ht="32.25" customHeight="1">
      <c r="A14" s="60"/>
      <c r="B14" s="25" t="s">
        <v>25</v>
      </c>
      <c r="C14" s="20">
        <v>3</v>
      </c>
      <c r="D14" s="21">
        <f t="shared" si="2"/>
        <v>2.25</v>
      </c>
      <c r="E14" s="21">
        <f t="shared" si="3"/>
        <v>0.5625</v>
      </c>
      <c r="F14" s="21">
        <v>0</v>
      </c>
      <c r="G14" s="21"/>
      <c r="H14" s="29" t="s">
        <v>65</v>
      </c>
    </row>
    <row r="15" spans="1:8" ht="32.25" customHeight="1">
      <c r="A15" s="61"/>
      <c r="B15" s="35" t="s">
        <v>9</v>
      </c>
      <c r="C15" s="22">
        <v>3</v>
      </c>
      <c r="D15" s="23">
        <f t="shared" si="2"/>
        <v>2.25</v>
      </c>
      <c r="E15" s="23">
        <f t="shared" si="3"/>
        <v>0.5625</v>
      </c>
      <c r="F15" s="23">
        <v>0</v>
      </c>
      <c r="G15" s="23"/>
      <c r="H15" s="30" t="s">
        <v>65</v>
      </c>
    </row>
    <row r="16" spans="1:8">
      <c r="A16" s="11"/>
      <c r="B16" s="12"/>
      <c r="C16" s="13"/>
      <c r="D16" s="14"/>
      <c r="E16" s="14"/>
      <c r="F16" s="14"/>
      <c r="G16" s="15"/>
    </row>
    <row r="17" spans="1:8" s="8" customFormat="1" ht="31.2">
      <c r="A17" s="62" t="s">
        <v>54</v>
      </c>
      <c r="B17" s="42" t="s">
        <v>40</v>
      </c>
      <c r="C17" s="18">
        <v>3</v>
      </c>
      <c r="D17" s="19">
        <f t="shared" ref="D17:D44" si="4">C17*0.75</f>
        <v>2.25</v>
      </c>
      <c r="E17" s="19">
        <f t="shared" ref="E17:E44" si="5">D17*0.25</f>
        <v>0.5625</v>
      </c>
      <c r="F17" s="19">
        <v>0</v>
      </c>
      <c r="G17" s="19"/>
      <c r="H17" s="39" t="s">
        <v>64</v>
      </c>
    </row>
    <row r="18" spans="1:8" s="8" customFormat="1" ht="32.25" customHeight="1">
      <c r="A18" s="63"/>
      <c r="B18" s="25" t="s">
        <v>32</v>
      </c>
      <c r="C18" s="20">
        <v>3</v>
      </c>
      <c r="D18" s="21">
        <v>4</v>
      </c>
      <c r="E18" s="21">
        <f t="shared" si="5"/>
        <v>1</v>
      </c>
      <c r="F18" s="21">
        <v>0</v>
      </c>
      <c r="G18" s="21"/>
      <c r="H18" s="40" t="s">
        <v>66</v>
      </c>
    </row>
    <row r="19" spans="1:8" s="8" customFormat="1" ht="32.25" customHeight="1">
      <c r="A19" s="63"/>
      <c r="B19" s="25" t="s">
        <v>50</v>
      </c>
      <c r="C19" s="20">
        <v>3</v>
      </c>
      <c r="D19" s="21">
        <f t="shared" si="4"/>
        <v>2.25</v>
      </c>
      <c r="E19" s="21">
        <f t="shared" si="5"/>
        <v>0.5625</v>
      </c>
      <c r="F19" s="21">
        <v>0</v>
      </c>
      <c r="G19" s="21"/>
      <c r="H19" s="40" t="s">
        <v>66</v>
      </c>
    </row>
    <row r="20" spans="1:8" s="8" customFormat="1" ht="32.25" customHeight="1">
      <c r="A20" s="63"/>
      <c r="B20" s="25" t="s">
        <v>39</v>
      </c>
      <c r="C20" s="20">
        <v>3</v>
      </c>
      <c r="D20" s="21">
        <v>4</v>
      </c>
      <c r="E20" s="21">
        <v>1</v>
      </c>
      <c r="F20" s="21">
        <v>0</v>
      </c>
      <c r="G20" s="21"/>
      <c r="H20" s="40" t="s">
        <v>63</v>
      </c>
    </row>
    <row r="21" spans="1:8" s="8" customFormat="1" ht="32.25" customHeight="1">
      <c r="A21" s="63"/>
      <c r="B21" s="25" t="s">
        <v>51</v>
      </c>
      <c r="C21" s="20">
        <v>3</v>
      </c>
      <c r="D21" s="21">
        <v>4</v>
      </c>
      <c r="E21" s="21">
        <f t="shared" si="5"/>
        <v>1</v>
      </c>
      <c r="F21" s="21">
        <v>0</v>
      </c>
      <c r="G21" s="21"/>
      <c r="H21" s="40" t="s">
        <v>67</v>
      </c>
    </row>
    <row r="22" spans="1:8" s="8" customFormat="1" ht="32.25" customHeight="1">
      <c r="A22" s="63"/>
      <c r="B22" s="35" t="s">
        <v>52</v>
      </c>
      <c r="C22" s="22">
        <v>3</v>
      </c>
      <c r="D22" s="23">
        <v>4</v>
      </c>
      <c r="E22" s="23">
        <v>1</v>
      </c>
      <c r="F22" s="23">
        <v>0</v>
      </c>
      <c r="G22" s="23"/>
      <c r="H22" s="41" t="s">
        <v>68</v>
      </c>
    </row>
    <row r="23" spans="1:8">
      <c r="A23" s="11"/>
      <c r="B23" s="12"/>
      <c r="C23" s="13"/>
      <c r="D23" s="14"/>
      <c r="E23" s="14"/>
      <c r="F23" s="14"/>
      <c r="G23" s="15"/>
    </row>
    <row r="24" spans="1:8" s="8" customFormat="1" ht="32.25" customHeight="1">
      <c r="A24" s="64" t="s">
        <v>56</v>
      </c>
      <c r="B24" s="24" t="s">
        <v>2</v>
      </c>
      <c r="C24" s="18">
        <v>3</v>
      </c>
      <c r="D24" s="19">
        <f>C24*0.75</f>
        <v>2.25</v>
      </c>
      <c r="E24" s="19">
        <f>D24*0.25</f>
        <v>0.5625</v>
      </c>
      <c r="F24" s="19">
        <v>0</v>
      </c>
      <c r="G24" s="19"/>
      <c r="H24" s="39" t="s">
        <v>61</v>
      </c>
    </row>
    <row r="25" spans="1:8" s="8" customFormat="1" ht="32.25" customHeight="1">
      <c r="A25" s="65"/>
      <c r="B25" s="25" t="s">
        <v>30</v>
      </c>
      <c r="C25" s="20">
        <v>3</v>
      </c>
      <c r="D25" s="21">
        <f>C25*0.75</f>
        <v>2.25</v>
      </c>
      <c r="E25" s="21">
        <f>D25*0.25</f>
        <v>0.5625</v>
      </c>
      <c r="F25" s="21">
        <v>0</v>
      </c>
      <c r="G25" s="21"/>
      <c r="H25" s="40" t="s">
        <v>59</v>
      </c>
    </row>
    <row r="26" spans="1:8" s="8" customFormat="1" ht="32.25" customHeight="1">
      <c r="A26" s="65"/>
      <c r="B26" s="35" t="s">
        <v>3</v>
      </c>
      <c r="C26" s="22">
        <v>3</v>
      </c>
      <c r="D26" s="23">
        <f>C26*0.75</f>
        <v>2.25</v>
      </c>
      <c r="E26" s="23">
        <f>D26*0.25</f>
        <v>0.5625</v>
      </c>
      <c r="F26" s="23">
        <v>0</v>
      </c>
      <c r="G26" s="23"/>
      <c r="H26" s="41" t="s">
        <v>61</v>
      </c>
    </row>
    <row r="27" spans="1:8">
      <c r="A27" s="11"/>
      <c r="B27" s="12"/>
      <c r="C27" s="13"/>
      <c r="D27" s="14"/>
      <c r="E27" s="14"/>
      <c r="F27" s="14"/>
      <c r="G27" s="15"/>
    </row>
    <row r="28" spans="1:8" s="5" customFormat="1" ht="31.5" customHeight="1">
      <c r="A28" s="64" t="s">
        <v>57</v>
      </c>
      <c r="B28" s="24" t="s">
        <v>4</v>
      </c>
      <c r="C28" s="18">
        <v>3</v>
      </c>
      <c r="D28" s="19">
        <f>C28*0.75</f>
        <v>2.25</v>
      </c>
      <c r="E28" s="19">
        <f>D28*0.25</f>
        <v>0.5625</v>
      </c>
      <c r="F28" s="19">
        <v>0</v>
      </c>
      <c r="G28" s="19"/>
      <c r="H28" s="36" t="s">
        <v>62</v>
      </c>
    </row>
    <row r="29" spans="1:8" s="5" customFormat="1" ht="31.5" customHeight="1">
      <c r="A29" s="65"/>
      <c r="B29" s="25" t="s">
        <v>53</v>
      </c>
      <c r="C29" s="20">
        <v>3</v>
      </c>
      <c r="D29" s="21">
        <f>C29*0.75</f>
        <v>2.25</v>
      </c>
      <c r="E29" s="21">
        <f>D29*0.25</f>
        <v>0.5625</v>
      </c>
      <c r="F29" s="21">
        <v>0</v>
      </c>
      <c r="G29" s="21"/>
      <c r="H29" s="37" t="s">
        <v>63</v>
      </c>
    </row>
    <row r="30" spans="1:8" s="5" customFormat="1" ht="31.5" customHeight="1">
      <c r="A30" s="65"/>
      <c r="B30" s="25" t="s">
        <v>5</v>
      </c>
      <c r="C30" s="20">
        <v>3</v>
      </c>
      <c r="D30" s="21">
        <f>C30*0.75</f>
        <v>2.25</v>
      </c>
      <c r="E30" s="21">
        <f>D30*0.25</f>
        <v>0.5625</v>
      </c>
      <c r="F30" s="21">
        <v>0</v>
      </c>
      <c r="G30" s="21"/>
      <c r="H30" s="37" t="s">
        <v>69</v>
      </c>
    </row>
    <row r="31" spans="1:8" s="5" customFormat="1" ht="31.5" customHeight="1">
      <c r="A31" s="65"/>
      <c r="B31" s="25" t="s">
        <v>41</v>
      </c>
      <c r="C31" s="20">
        <v>3</v>
      </c>
      <c r="D31" s="21">
        <f>C31*0.75</f>
        <v>2.25</v>
      </c>
      <c r="E31" s="21">
        <f>D31*0.25</f>
        <v>0.5625</v>
      </c>
      <c r="F31" s="21">
        <v>0</v>
      </c>
      <c r="G31" s="21"/>
      <c r="H31" s="37" t="s">
        <v>70</v>
      </c>
    </row>
    <row r="32" spans="1:8" s="5" customFormat="1" ht="31.5" customHeight="1">
      <c r="A32" s="65"/>
      <c r="B32" s="35" t="s">
        <v>42</v>
      </c>
      <c r="C32" s="22">
        <v>3</v>
      </c>
      <c r="D32" s="23">
        <f>C32*0.75</f>
        <v>2.25</v>
      </c>
      <c r="E32" s="23">
        <f>D32*0.25</f>
        <v>0.5625</v>
      </c>
      <c r="F32" s="23">
        <v>0</v>
      </c>
      <c r="G32" s="23"/>
      <c r="H32" s="38" t="s">
        <v>71</v>
      </c>
    </row>
    <row r="33" spans="1:8">
      <c r="A33" s="11"/>
      <c r="B33" s="12"/>
      <c r="C33" s="13"/>
      <c r="D33" s="14"/>
      <c r="E33" s="14"/>
      <c r="F33" s="14"/>
      <c r="G33" s="15"/>
    </row>
    <row r="34" spans="1:8" ht="32.25" customHeight="1">
      <c r="A34" s="62" t="s">
        <v>33</v>
      </c>
      <c r="B34" s="24" t="s">
        <v>34</v>
      </c>
      <c r="C34" s="18">
        <v>3</v>
      </c>
      <c r="D34" s="19">
        <f t="shared" si="4"/>
        <v>2.25</v>
      </c>
      <c r="E34" s="19">
        <f t="shared" si="5"/>
        <v>0.5625</v>
      </c>
      <c r="F34" s="19">
        <v>0</v>
      </c>
      <c r="G34" s="19"/>
      <c r="H34" s="36" t="s">
        <v>62</v>
      </c>
    </row>
    <row r="35" spans="1:8" ht="32.25" customHeight="1">
      <c r="A35" s="63"/>
      <c r="B35" s="25" t="s">
        <v>43</v>
      </c>
      <c r="C35" s="20">
        <v>3</v>
      </c>
      <c r="D35" s="21">
        <v>2</v>
      </c>
      <c r="E35" s="21">
        <f t="shared" si="5"/>
        <v>0.5</v>
      </c>
      <c r="F35" s="21">
        <v>0</v>
      </c>
      <c r="G35" s="21"/>
      <c r="H35" s="37" t="s">
        <v>62</v>
      </c>
    </row>
    <row r="36" spans="1:8" ht="32.25" customHeight="1">
      <c r="A36" s="63"/>
      <c r="B36" s="25" t="s">
        <v>44</v>
      </c>
      <c r="C36" s="20">
        <v>3</v>
      </c>
      <c r="D36" s="21">
        <v>2</v>
      </c>
      <c r="E36" s="21">
        <f t="shared" si="5"/>
        <v>0.5</v>
      </c>
      <c r="F36" s="21">
        <v>0</v>
      </c>
      <c r="G36" s="21"/>
      <c r="H36" s="37" t="s">
        <v>62</v>
      </c>
    </row>
    <row r="37" spans="1:8" ht="32.25" customHeight="1">
      <c r="A37" s="63"/>
      <c r="B37" s="25" t="s">
        <v>29</v>
      </c>
      <c r="C37" s="20">
        <v>3</v>
      </c>
      <c r="D37" s="21">
        <v>2</v>
      </c>
      <c r="E37" s="21">
        <v>1</v>
      </c>
      <c r="F37" s="21">
        <v>0</v>
      </c>
      <c r="G37" s="21"/>
      <c r="H37" s="37" t="s">
        <v>62</v>
      </c>
    </row>
    <row r="38" spans="1:8" ht="32.25" customHeight="1">
      <c r="A38" s="63"/>
      <c r="B38" s="25" t="s">
        <v>45</v>
      </c>
      <c r="C38" s="20">
        <v>3</v>
      </c>
      <c r="D38" s="21">
        <v>2</v>
      </c>
      <c r="E38" s="21">
        <v>1</v>
      </c>
      <c r="F38" s="21">
        <v>0</v>
      </c>
      <c r="G38" s="21"/>
      <c r="H38" s="37" t="s">
        <v>62</v>
      </c>
    </row>
    <row r="39" spans="1:8" ht="32.25" customHeight="1">
      <c r="A39" s="63"/>
      <c r="B39" s="25" t="s">
        <v>35</v>
      </c>
      <c r="C39" s="20">
        <v>3</v>
      </c>
      <c r="D39" s="21">
        <v>2</v>
      </c>
      <c r="E39" s="21">
        <v>1</v>
      </c>
      <c r="F39" s="21">
        <v>0</v>
      </c>
      <c r="G39" s="21"/>
      <c r="H39" s="37" t="s">
        <v>62</v>
      </c>
    </row>
    <row r="40" spans="1:8" ht="32.25" customHeight="1">
      <c r="A40" s="63"/>
      <c r="B40" s="25" t="s">
        <v>46</v>
      </c>
      <c r="C40" s="20">
        <v>3</v>
      </c>
      <c r="D40" s="21">
        <v>2</v>
      </c>
      <c r="E40" s="21">
        <v>1</v>
      </c>
      <c r="F40" s="21">
        <v>0</v>
      </c>
      <c r="G40" s="21"/>
      <c r="H40" s="37" t="s">
        <v>63</v>
      </c>
    </row>
    <row r="41" spans="1:8" ht="32.25" customHeight="1">
      <c r="A41" s="63"/>
      <c r="B41" s="35" t="s">
        <v>47</v>
      </c>
      <c r="C41" s="22">
        <v>3</v>
      </c>
      <c r="D41" s="23">
        <v>2</v>
      </c>
      <c r="E41" s="23">
        <v>1</v>
      </c>
      <c r="F41" s="23">
        <v>0</v>
      </c>
      <c r="G41" s="23"/>
      <c r="H41" s="38" t="s">
        <v>63</v>
      </c>
    </row>
    <row r="42" spans="1:8">
      <c r="A42" s="11"/>
      <c r="B42" s="12"/>
      <c r="C42" s="13"/>
      <c r="D42" s="14"/>
      <c r="E42" s="14"/>
      <c r="F42" s="14"/>
      <c r="G42" s="15"/>
    </row>
    <row r="43" spans="1:8" s="5" customFormat="1" ht="32.25" customHeight="1">
      <c r="A43" s="62" t="s">
        <v>7</v>
      </c>
      <c r="B43" s="24" t="s">
        <v>24</v>
      </c>
      <c r="C43" s="18">
        <v>3</v>
      </c>
      <c r="D43" s="19">
        <f t="shared" si="4"/>
        <v>2.25</v>
      </c>
      <c r="E43" s="19">
        <f t="shared" si="5"/>
        <v>0.5625</v>
      </c>
      <c r="F43" s="19">
        <v>0</v>
      </c>
      <c r="G43" s="19"/>
      <c r="H43" s="36"/>
    </row>
    <row r="44" spans="1:8" s="5" customFormat="1" ht="32.25" customHeight="1">
      <c r="A44" s="63"/>
      <c r="B44" s="25" t="s">
        <v>23</v>
      </c>
      <c r="C44" s="20">
        <v>3</v>
      </c>
      <c r="D44" s="21">
        <f t="shared" si="4"/>
        <v>2.25</v>
      </c>
      <c r="E44" s="21">
        <f t="shared" si="5"/>
        <v>0.5625</v>
      </c>
      <c r="F44" s="21">
        <v>0</v>
      </c>
      <c r="G44" s="21"/>
      <c r="H44" s="37"/>
    </row>
    <row r="45" spans="1:8" s="5" customFormat="1" ht="32.25" customHeight="1">
      <c r="A45" s="63"/>
      <c r="B45" s="35" t="s">
        <v>20</v>
      </c>
      <c r="C45" s="22">
        <v>3</v>
      </c>
      <c r="D45" s="23">
        <v>2</v>
      </c>
      <c r="E45" s="23">
        <f>D45*0.25</f>
        <v>0.5</v>
      </c>
      <c r="F45" s="23">
        <v>0</v>
      </c>
      <c r="G45" s="23"/>
      <c r="H45" s="38" t="s">
        <v>72</v>
      </c>
    </row>
    <row r="46" spans="1:8">
      <c r="A46" s="11"/>
      <c r="B46" s="12"/>
      <c r="C46" s="13"/>
      <c r="D46" s="14"/>
      <c r="E46" s="14"/>
      <c r="F46" s="14"/>
      <c r="G46" s="15"/>
    </row>
    <row r="47" spans="1:8" ht="32.25" customHeight="1">
      <c r="A47" s="55" t="s">
        <v>36</v>
      </c>
      <c r="B47" s="43" t="s">
        <v>48</v>
      </c>
      <c r="C47" s="44"/>
      <c r="D47" s="45"/>
      <c r="E47" s="45"/>
      <c r="F47" s="45"/>
      <c r="G47" s="46"/>
      <c r="H47" s="47"/>
    </row>
    <row r="48" spans="1:8" ht="12.75" customHeight="1">
      <c r="D48" s="16"/>
      <c r="E48" s="16"/>
      <c r="F48" s="16"/>
    </row>
    <row r="49" spans="1:8" ht="12.75" customHeight="1"/>
    <row r="50" spans="1:8" ht="15.6">
      <c r="A50" s="57" t="s">
        <v>17</v>
      </c>
      <c r="B50" s="57"/>
      <c r="C50" s="57"/>
      <c r="D50" s="57"/>
      <c r="E50" s="57"/>
      <c r="F50" s="57"/>
      <c r="G50" s="57"/>
      <c r="H50" s="57"/>
    </row>
    <row r="51" spans="1:8" ht="15.6">
      <c r="A51" s="57" t="s">
        <v>18</v>
      </c>
      <c r="B51" s="57"/>
      <c r="C51" s="57"/>
      <c r="D51" s="57"/>
      <c r="E51" s="57"/>
      <c r="F51" s="57"/>
      <c r="G51" s="57"/>
      <c r="H51" s="57"/>
    </row>
    <row r="52" spans="1:8" ht="15.6">
      <c r="A52" s="57" t="s">
        <v>49</v>
      </c>
      <c r="B52" s="57"/>
      <c r="C52" s="57"/>
      <c r="D52" s="57"/>
      <c r="E52" s="57"/>
      <c r="F52" s="57"/>
      <c r="G52" s="57"/>
      <c r="H52" s="57"/>
    </row>
  </sheetData>
  <mergeCells count="12">
    <mergeCell ref="C5:G5"/>
    <mergeCell ref="A50:H50"/>
    <mergeCell ref="A51:H51"/>
    <mergeCell ref="A1:H1"/>
    <mergeCell ref="A52:H52"/>
    <mergeCell ref="A7:A10"/>
    <mergeCell ref="A12:A15"/>
    <mergeCell ref="A17:A22"/>
    <mergeCell ref="A24:A26"/>
    <mergeCell ref="A28:A32"/>
    <mergeCell ref="A34:A41"/>
    <mergeCell ref="A43:A45"/>
  </mergeCells>
  <phoneticPr fontId="1" type="noConversion"/>
  <pageMargins left="0.25" right="0.25" top="0.5" bottom="0.5" header="0.3" footer="0.3"/>
  <pageSetup scale="63" fitToHeight="0" orientation="portrait" r:id="rId1"/>
  <headerFooter alignWithMargins="0">
    <oddFooter>&amp;C&amp;A</oddFooter>
  </headerFooter>
  <rowBreaks count="1" manualBreakCount="1">
    <brk id="42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</vt:lpstr>
      <vt:lpstr>Master!Print_Area</vt:lpstr>
    </vt:vector>
  </TitlesOfParts>
  <Company>MTC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MTC</dc:creator>
  <cp:lastModifiedBy>ICO3 Takeda</cp:lastModifiedBy>
  <cp:lastPrinted>2015-08-13T14:17:51Z</cp:lastPrinted>
  <dcterms:created xsi:type="dcterms:W3CDTF">2007-03-30T13:42:38Z</dcterms:created>
  <dcterms:modified xsi:type="dcterms:W3CDTF">2024-12-04T19:46:33Z</dcterms:modified>
</cp:coreProperties>
</file>